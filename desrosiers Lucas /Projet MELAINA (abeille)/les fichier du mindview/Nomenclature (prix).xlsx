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bahn fais le listte des chos" sheetId="1" r:id="rId4"/>
    <sheet state="visible" name="Feuille 1" sheetId="2" r:id="rId5"/>
  </sheets>
  <definedNames/>
  <calcPr/>
</workbook>
</file>

<file path=xl/sharedStrings.xml><?xml version="1.0" encoding="utf-8"?>
<sst xmlns="http://schemas.openxmlformats.org/spreadsheetml/2006/main" count="176" uniqueCount="59">
  <si>
    <t>Catégorie</t>
  </si>
  <si>
    <t>Matériel / Composant</t>
  </si>
  <si>
    <t>Réf. ou Détails Techniques</t>
  </si>
  <si>
    <t>Quantité</t>
  </si>
  <si>
    <t>Pour Qui ?</t>
  </si>
  <si>
    <t>État (On a / On a pas)</t>
  </si>
  <si>
    <t>Budget Est.</t>
  </si>
  <si>
    <t>Cœur Système</t>
  </si>
  <si>
    <t>Raspberry Pi 3</t>
  </si>
  <si>
    <t>Modèle B recommandé</t>
  </si>
  <si>
    <t>Commun</t>
  </si>
  <si>
    <t>À commander</t>
  </si>
  <si>
    <t>Carte d'interface GrovePi+</t>
  </si>
  <si>
    <t>Hat pour Raspberry Pi</t>
  </si>
  <si>
    <t>Alimentation Solaire</t>
  </si>
  <si>
    <t>Batterie + Panneau Solaire</t>
  </si>
  <si>
    <t>--</t>
  </si>
  <si>
    <t>Étudiant 1 (Julien)</t>
  </si>
  <si>
    <t>Capteur de Force (200kg)</t>
  </si>
  <si>
    <t>Réf: CZL204E-200 (Imposé)</t>
  </si>
  <si>
    <t>Julien</t>
  </si>
  <si>
    <t>Amplificateur Jauge</t>
  </si>
  <si>
    <t>Type HX711 (Indispensable pour la jauge)</t>
  </si>
  <si>
    <t>Capteur Température Interne</t>
  </si>
  <si>
    <t>Sonde étanche (type DS18B20)</t>
  </si>
  <si>
    <t>Émetteur Radio (Pico-réseau)</t>
  </si>
  <si>
    <t>Module 433MHz ou LoRa Grove</t>
  </si>
  <si>
    <t>Étudiant 2 (Lucas)</t>
  </si>
  <si>
    <t>Capteur Température/Humidité</t>
  </si>
  <si>
    <t>Grove - Temp&amp;Humi Sensor (DHT22 ou BME280)</t>
  </si>
  <si>
    <t>Lucas</t>
  </si>
  <si>
    <t>Module GPS</t>
  </si>
  <si>
    <t>Grove - GPS Module</t>
  </si>
  <si>
    <t>Récepteur Radio (Pico-réseau – Ruche mère)</t>
  </si>
  <si>
    <t>Module 433MHz ou LoRa Grove (Même tech que Julien)</t>
  </si>
  <si>
    <t>Étudiant 3 (Sohan)</t>
  </si>
  <si>
    <r>
      <rPr>
        <color rgb="FF1155CC"/>
        <u/>
      </rPr>
      <t>Module GSM / GPRS</t>
    </r>
    <r>
      <rPr/>
      <t xml:space="preserve"> (comprend un module gps donc sa voir)</t>
    </r>
  </si>
  <si>
    <t>Waveshare SIM7600G-H 4G HAT</t>
  </si>
  <si>
    <t>Sohan</t>
  </si>
  <si>
    <t>Carte SIM</t>
  </si>
  <si>
    <t>Format selon module (M2M ou Prépayé)</t>
  </si>
  <si>
    <t>-</t>
  </si>
  <si>
    <t>Divers</t>
  </si>
  <si>
    <t>Carte Micro SD</t>
  </si>
  <si>
    <t>16Go ou 32Go (Pour OS Raspberry)</t>
  </si>
  <si>
    <t>Câblage</t>
  </si>
  <si>
    <t>Kit câbles Grove 4 pins + Jumpers</t>
  </si>
  <si>
    <t xml:space="preserve">Amplificateur </t>
  </si>
  <si>
    <t>Amplificateur HX711</t>
  </si>
  <si>
    <t>Boîtiers Étanches</t>
  </si>
  <si>
    <t>Pour protéger l'électronique en extérieur</t>
  </si>
  <si>
    <t>Total</t>
  </si>
  <si>
    <t>Raspberry Pi (3 ou 4)</t>
  </si>
  <si>
    <t>À vérifier</t>
  </si>
  <si>
    <t>Récepteur Radio (Pico-réseau)</t>
  </si>
  <si>
    <t>Module GSM / GPRS</t>
  </si>
  <si>
    <t>Pour envoi SMS/Data (ex: SIM800L ou HAT GSM)</t>
  </si>
  <si>
    <t>À prévoir</t>
  </si>
  <si>
    <t>1 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</si>
</sst>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ok bahn fais le listte des ch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8" displayName="Matériel_Projet_Acquisition" name="Matériel_Projet_Acquisition" id="1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ok bahn fais le listte des chos-style" showColumnStripes="0" showFirstColumn="1" showLastColumn="1" showRowStripes="1"/>
</table>
</file>

<file path=xl/tables/table2.xml><?xml version="1.0" encoding="utf-8"?>
<table xmlns="http://schemas.openxmlformats.org/spreadsheetml/2006/main" ref="B3:H18" displayName="Tableau1" name="Tableau1" id="2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module-hat-lte-4g-sim7600g-h-35490.htm?srsltid=AfmBOopU6zKOwz5RxmxKkTrox49YegHiG-y6L4PpFvb2zun9Z3QqA-JZ" TargetMode="External"/><Relationship Id="rId10" Type="http://schemas.openxmlformats.org/officeDocument/2006/relationships/hyperlink" Target="https://www.gotronic.fr/art-module-gps-grove-109020022-31996.htm" TargetMode="External"/><Relationship Id="rId13" Type="http://schemas.openxmlformats.org/officeDocument/2006/relationships/hyperlink" Target="https://www.gotronic.fr/art-5-cables-20-cm-grove-4-contacts-males-23368.htm" TargetMode="External"/><Relationship Id="rId12" Type="http://schemas.openxmlformats.org/officeDocument/2006/relationships/hyperlink" Target="https://www.ldlc.pro/fiche/PB00486746.html" TargetMode="External"/><Relationship Id="rId1" Type="http://schemas.openxmlformats.org/officeDocument/2006/relationships/hyperlink" Target="https://www.ldlc.pro/fiche/PB00246555.html" TargetMode="External"/><Relationship Id="rId2" Type="http://schemas.openxmlformats.org/officeDocument/2006/relationships/hyperlink" Target="https://www.gotronic.fr/art-module-grovepi-103010002-23075.htm" TargetMode="External"/><Relationship Id="rId3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4" Type="http://schemas.openxmlformats.org/officeDocument/2006/relationships/hyperlink" Target="https://www.manomano.fr/p/batterie-plomb-agm-yuasa-np7-12-12v-7ah-f48-7399952" TargetMode="External"/><Relationship Id="rId9" Type="http://schemas.openxmlformats.org/officeDocument/2006/relationships/hyperlink" Target="https://www.gotronic.fr/art-capteur-de-pression-de-t-et-d-humidite-grove-101020193-25133.htm?srsltid=AfmBOop2JlpRVnO4NrzJ7r2XOlTlYb8ponq2_3Eac7c8d-w8Oza4myjl" TargetMode="External"/><Relationship Id="rId15" Type="http://schemas.openxmlformats.org/officeDocument/2006/relationships/hyperlink" Target="https://www.gotronic.fr/art-boitier-etanche-abs-ip207337-6695.htm" TargetMode="External"/><Relationship Id="rId14" Type="http://schemas.openxmlformats.org/officeDocument/2006/relationships/hyperlink" Target="https://www.gotronic.fr/art-amplificateur-hx711-grove-101020712-31346.htm?srsltid=AfmBOorF8IA4kQSmB33yegSe50ZCJ4YXU4rIVihkLTyrwQY23R8TOiS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gotronic.fr/art-capteur-de-force-200-kg-czl204e-200-19654.htm?srsltid=AfmBOoqA2oJ_OZZbWmRrUFg5TTaTTZ1dbdGZNNFkhgwrfgtjX9s8FWRN" TargetMode="External"/><Relationship Id="rId6" Type="http://schemas.openxmlformats.org/officeDocument/2006/relationships/hyperlink" Target="https://www.gotronic.fr/art-amplificateur-hx711-grove-101020712-31346.htm?srsltid=AfmBOopgNNKJd_byiNLYDmboTORZn4S5g3hnTK2h0edqjrbQrS9jCxR8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gotronic.fr/art-sonde-etanche-ds18b20-19339.htm?srsltid=AfmBOoqRxRSFGsoylJQffjR8LlTu0HIpKnnvtHvdS7IcNDCSBNKQ-8Ce" TargetMode="External"/><Relationship Id="rId8" Type="http://schemas.openxmlformats.org/officeDocument/2006/relationships/hyperlink" Target="https://www.gotronic.fr/art-module-rf-433mhz-e-r-40212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5.38"/>
    <col customWidth="1" min="3" max="3" width="37.63"/>
    <col customWidth="1" min="4" max="4" width="15.0"/>
    <col customWidth="1" min="5" max="5" width="16.25"/>
    <col customWidth="1" min="6" max="6" width="24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 t="s">
        <v>9</v>
      </c>
      <c r="D2" s="5">
        <v>2.0</v>
      </c>
      <c r="E2" s="6" t="s">
        <v>10</v>
      </c>
      <c r="F2" s="6" t="s">
        <v>11</v>
      </c>
      <c r="G2" s="5">
        <v>100.0</v>
      </c>
    </row>
    <row r="3" ht="22.5" customHeight="1">
      <c r="A3" s="4" t="s">
        <v>7</v>
      </c>
      <c r="B3" s="3" t="s">
        <v>12</v>
      </c>
      <c r="C3" s="4" t="s">
        <v>13</v>
      </c>
      <c r="D3" s="5">
        <v>2.0</v>
      </c>
      <c r="E3" s="6" t="s">
        <v>10</v>
      </c>
      <c r="F3" s="6" t="s">
        <v>11</v>
      </c>
      <c r="G3" s="5">
        <v>47.0</v>
      </c>
    </row>
    <row r="4" ht="22.5" customHeight="1">
      <c r="A4" s="4" t="s">
        <v>7</v>
      </c>
      <c r="B4" s="3" t="s">
        <v>14</v>
      </c>
      <c r="C4" s="3" t="s">
        <v>15</v>
      </c>
      <c r="D4" s="5">
        <v>1.0</v>
      </c>
      <c r="E4" s="6" t="s">
        <v>10</v>
      </c>
      <c r="F4" s="6" t="s">
        <v>11</v>
      </c>
      <c r="G4" s="5" t="s">
        <v>16</v>
      </c>
    </row>
    <row r="5" ht="22.5" customHeight="1">
      <c r="A5" s="4" t="s">
        <v>17</v>
      </c>
      <c r="B5" s="3" t="s">
        <v>18</v>
      </c>
      <c r="C5" s="4" t="s">
        <v>19</v>
      </c>
      <c r="D5" s="5">
        <v>1.0</v>
      </c>
      <c r="E5" s="6" t="s">
        <v>20</v>
      </c>
      <c r="F5" s="6" t="s">
        <v>11</v>
      </c>
      <c r="G5" s="5">
        <v>60.0</v>
      </c>
    </row>
    <row r="6" ht="22.5" customHeight="1">
      <c r="A6" s="4" t="s">
        <v>17</v>
      </c>
      <c r="B6" s="3" t="s">
        <v>21</v>
      </c>
      <c r="C6" s="4" t="s">
        <v>22</v>
      </c>
      <c r="D6" s="5">
        <v>1.0</v>
      </c>
      <c r="E6" s="6" t="s">
        <v>20</v>
      </c>
      <c r="F6" s="6" t="s">
        <v>11</v>
      </c>
      <c r="G6" s="5">
        <v>6.0</v>
      </c>
    </row>
    <row r="7" ht="22.5" customHeight="1">
      <c r="A7" s="4" t="s">
        <v>17</v>
      </c>
      <c r="B7" s="3" t="s">
        <v>23</v>
      </c>
      <c r="C7" s="4" t="s">
        <v>24</v>
      </c>
      <c r="D7" s="5">
        <v>1.0</v>
      </c>
      <c r="E7" s="6" t="s">
        <v>20</v>
      </c>
      <c r="F7" s="6" t="s">
        <v>11</v>
      </c>
      <c r="G7" s="5">
        <v>10.0</v>
      </c>
    </row>
    <row r="8" ht="22.5" customHeight="1">
      <c r="A8" s="4" t="s">
        <v>17</v>
      </c>
      <c r="B8" s="3" t="s">
        <v>25</v>
      </c>
      <c r="C8" s="4" t="s">
        <v>26</v>
      </c>
      <c r="D8" s="5">
        <v>1.0</v>
      </c>
      <c r="E8" s="6" t="s">
        <v>20</v>
      </c>
      <c r="F8" s="6" t="s">
        <v>11</v>
      </c>
      <c r="G8" s="5">
        <v>10.0</v>
      </c>
    </row>
    <row r="9" ht="22.5" customHeight="1">
      <c r="A9" s="4" t="s">
        <v>27</v>
      </c>
      <c r="B9" s="3" t="s">
        <v>28</v>
      </c>
      <c r="C9" s="4" t="s">
        <v>29</v>
      </c>
      <c r="D9" s="5">
        <v>1.0</v>
      </c>
      <c r="E9" s="6" t="s">
        <v>30</v>
      </c>
      <c r="F9" s="6" t="s">
        <v>11</v>
      </c>
      <c r="G9" s="5">
        <v>24.0</v>
      </c>
    </row>
    <row r="10" ht="22.5" customHeight="1">
      <c r="A10" s="4" t="s">
        <v>27</v>
      </c>
      <c r="B10" s="3" t="s">
        <v>31</v>
      </c>
      <c r="C10" s="4" t="s">
        <v>32</v>
      </c>
      <c r="D10" s="5">
        <v>1.0</v>
      </c>
      <c r="E10" s="6" t="s">
        <v>30</v>
      </c>
      <c r="F10" s="6" t="s">
        <v>11</v>
      </c>
      <c r="G10" s="5">
        <v>14.0</v>
      </c>
    </row>
    <row r="11" ht="22.5" customHeight="1">
      <c r="A11" s="4" t="s">
        <v>27</v>
      </c>
      <c r="B11" s="4" t="s">
        <v>33</v>
      </c>
      <c r="C11" s="4" t="s">
        <v>34</v>
      </c>
      <c r="D11" s="5">
        <v>1.0</v>
      </c>
      <c r="E11" s="6" t="s">
        <v>30</v>
      </c>
      <c r="F11" s="6" t="s">
        <v>11</v>
      </c>
      <c r="G11" s="5"/>
    </row>
    <row r="12" ht="22.5" customHeight="1">
      <c r="A12" s="4" t="s">
        <v>35</v>
      </c>
      <c r="B12" s="3" t="s">
        <v>36</v>
      </c>
      <c r="C12" s="4" t="s">
        <v>37</v>
      </c>
      <c r="D12" s="5">
        <v>1.0</v>
      </c>
      <c r="E12" s="6" t="s">
        <v>38</v>
      </c>
      <c r="F12" s="6" t="s">
        <v>11</v>
      </c>
      <c r="G12" s="5">
        <v>76.0</v>
      </c>
    </row>
    <row r="13" ht="22.5" customHeight="1">
      <c r="A13" s="4" t="s">
        <v>35</v>
      </c>
      <c r="B13" s="4" t="s">
        <v>39</v>
      </c>
      <c r="C13" s="4" t="s">
        <v>40</v>
      </c>
      <c r="D13" s="5">
        <v>1.0</v>
      </c>
      <c r="E13" s="6" t="s">
        <v>38</v>
      </c>
      <c r="F13" s="6" t="s">
        <v>11</v>
      </c>
      <c r="G13" s="4" t="s">
        <v>41</v>
      </c>
    </row>
    <row r="14" ht="22.5" customHeight="1">
      <c r="A14" s="4" t="s">
        <v>42</v>
      </c>
      <c r="B14" s="3" t="s">
        <v>43</v>
      </c>
      <c r="C14" s="4" t="s">
        <v>44</v>
      </c>
      <c r="D14" s="5">
        <v>2.0</v>
      </c>
      <c r="E14" s="6" t="s">
        <v>10</v>
      </c>
      <c r="F14" s="6" t="s">
        <v>11</v>
      </c>
      <c r="G14" s="5">
        <v>29.0</v>
      </c>
    </row>
    <row r="15" ht="22.5" customHeight="1">
      <c r="A15" s="4" t="s">
        <v>42</v>
      </c>
      <c r="B15" s="3" t="s">
        <v>45</v>
      </c>
      <c r="C15" s="4" t="s">
        <v>46</v>
      </c>
      <c r="D15" s="5">
        <v>2.0</v>
      </c>
      <c r="E15" s="6" t="s">
        <v>10</v>
      </c>
      <c r="F15" s="6" t="s">
        <v>11</v>
      </c>
      <c r="G15" s="5">
        <v>6.0</v>
      </c>
    </row>
    <row r="16" ht="22.5" customHeight="1">
      <c r="A16" s="4" t="s">
        <v>17</v>
      </c>
      <c r="B16" s="3" t="s">
        <v>47</v>
      </c>
      <c r="C16" s="4" t="s">
        <v>48</v>
      </c>
      <c r="D16" s="5">
        <v>1.0</v>
      </c>
      <c r="E16" s="6" t="s">
        <v>20</v>
      </c>
      <c r="F16" s="6" t="s">
        <v>11</v>
      </c>
      <c r="G16" s="5">
        <v>6.0</v>
      </c>
    </row>
    <row r="17" ht="22.5" customHeight="1">
      <c r="A17" s="4" t="s">
        <v>42</v>
      </c>
      <c r="B17" s="3" t="s">
        <v>49</v>
      </c>
      <c r="C17" s="4" t="s">
        <v>50</v>
      </c>
      <c r="D17" s="5">
        <v>2.0</v>
      </c>
      <c r="E17" s="6" t="s">
        <v>10</v>
      </c>
      <c r="F17" s="6" t="s">
        <v>11</v>
      </c>
      <c r="G17" s="5">
        <v>22.0</v>
      </c>
    </row>
    <row r="18" ht="22.5" customHeight="1">
      <c r="A18" s="7" t="s">
        <v>51</v>
      </c>
      <c r="B18" s="8"/>
      <c r="C18" s="7"/>
      <c r="D18" s="9"/>
      <c r="E18" s="10"/>
      <c r="F18" s="10"/>
      <c r="G18" s="9">
        <f>G2+G3+G5+G6+G7+G8+G9+G10+G12+G14+G15+G16+G17</f>
        <v>410</v>
      </c>
    </row>
  </sheetData>
  <dataValidations>
    <dataValidation type="list" allowBlank="1" showDropDown="1" showErrorMessage="1" sqref="F2:F18">
      <formula1>"À vérifier,À commander,À prévoir"</formula1>
    </dataValidation>
    <dataValidation type="custom" allowBlank="1" showDropDown="1" sqref="D2:D18 G2:G18">
      <formula1>AND(ISNUMBER(D2),(NOT(OR(NOT(ISERROR(DATEVALUE(D2))), AND(ISNUMBER(D2), LEFT(CELL("format", D2))="D")))))</formula1>
    </dataValidation>
    <dataValidation type="list" allowBlank="1" showDropDown="1" showErrorMessage="1" sqref="E2:E18">
      <formula1>"Commun,Julien,Lucas,Sohan"</formula1>
    </dataValidation>
  </dataValidations>
  <hyperlinks>
    <hyperlink r:id="rId1" ref="B2"/>
    <hyperlink r:id="rId2" ref="B3"/>
    <hyperlink r:id="rId3" ref="B4"/>
    <hyperlink r:id="rId4" ref="C4"/>
    <hyperlink r:id="rId5" ref="B5"/>
    <hyperlink r:id="rId6" ref="B6"/>
    <hyperlink r:id="rId7" ref="B7"/>
    <hyperlink r:id="rId8" ref="B8"/>
    <hyperlink r:id="rId9" ref="B9"/>
    <hyperlink r:id="rId10" ref="B10"/>
    <hyperlink r:id="rId11" ref="B12"/>
    <hyperlink r:id="rId12" ref="B14"/>
    <hyperlink r:id="rId13" ref="B15"/>
    <hyperlink r:id="rId14" ref="B16"/>
    <hyperlink r:id="rId15" ref="B17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4.38"/>
    <col customWidth="1" min="3" max="3" width="27.75"/>
    <col customWidth="1" min="4" max="4" width="28.0"/>
    <col customWidth="1" min="5" max="5" width="17.63"/>
    <col customWidth="1" min="6" max="6" width="19.25"/>
    <col customWidth="1" min="7" max="7" width="29.0"/>
    <col customWidth="1" min="8" max="8" width="18.5"/>
  </cols>
  <sheetData>
    <row r="1">
      <c r="A1" s="11"/>
      <c r="B1" s="11"/>
      <c r="C1" s="11"/>
      <c r="D1" s="11"/>
      <c r="E1" s="11"/>
      <c r="F1" s="11"/>
      <c r="G1" s="11"/>
      <c r="H1" s="11"/>
    </row>
    <row r="2">
      <c r="A2" s="11"/>
      <c r="B2" s="11"/>
      <c r="C2" s="11"/>
      <c r="D2" s="11"/>
      <c r="E2" s="11"/>
      <c r="F2" s="11"/>
      <c r="G2" s="11"/>
      <c r="H2" s="11"/>
    </row>
    <row r="3" ht="22.5" customHeight="1">
      <c r="A3" s="11"/>
      <c r="B3" s="12" t="s">
        <v>0</v>
      </c>
      <c r="C3" s="13" t="s">
        <v>1</v>
      </c>
      <c r="D3" s="13" t="s">
        <v>2</v>
      </c>
      <c r="E3" s="12" t="s">
        <v>3</v>
      </c>
      <c r="F3" s="12" t="s">
        <v>4</v>
      </c>
      <c r="G3" s="13" t="s">
        <v>5</v>
      </c>
      <c r="H3" s="12" t="s">
        <v>6</v>
      </c>
    </row>
    <row r="4" ht="33.75" customHeight="1">
      <c r="A4" s="11"/>
      <c r="B4" s="14" t="s">
        <v>7</v>
      </c>
      <c r="C4" s="15" t="s">
        <v>52</v>
      </c>
      <c r="D4" s="15" t="s">
        <v>9</v>
      </c>
      <c r="E4" s="16">
        <v>2.0</v>
      </c>
      <c r="F4" s="16" t="s">
        <v>10</v>
      </c>
      <c r="G4" s="17" t="s">
        <v>53</v>
      </c>
      <c r="H4" s="14" t="s">
        <v>41</v>
      </c>
    </row>
    <row r="5" ht="33.75" customHeight="1">
      <c r="A5" s="11"/>
      <c r="B5" s="14" t="s">
        <v>7</v>
      </c>
      <c r="C5" s="15" t="s">
        <v>12</v>
      </c>
      <c r="D5" s="15" t="s">
        <v>13</v>
      </c>
      <c r="E5" s="16">
        <v>2.0</v>
      </c>
      <c r="F5" s="16" t="s">
        <v>10</v>
      </c>
      <c r="G5" s="17" t="s">
        <v>53</v>
      </c>
      <c r="H5" s="14" t="s">
        <v>41</v>
      </c>
    </row>
    <row r="6" ht="26.25" customHeight="1">
      <c r="A6" s="11"/>
      <c r="B6" s="14" t="s">
        <v>7</v>
      </c>
      <c r="C6" s="15" t="s">
        <v>14</v>
      </c>
      <c r="D6" s="15" t="s">
        <v>15</v>
      </c>
      <c r="E6" s="16">
        <v>1.0</v>
      </c>
      <c r="F6" s="16" t="s">
        <v>10</v>
      </c>
      <c r="G6" s="17" t="s">
        <v>11</v>
      </c>
      <c r="H6" s="18">
        <v>50.0</v>
      </c>
    </row>
    <row r="7" ht="36.0" customHeight="1">
      <c r="A7" s="11"/>
      <c r="B7" s="14" t="s">
        <v>17</v>
      </c>
      <c r="C7" s="15" t="s">
        <v>18</v>
      </c>
      <c r="D7" s="15" t="s">
        <v>19</v>
      </c>
      <c r="E7" s="16">
        <v>1.0</v>
      </c>
      <c r="F7" s="16" t="s">
        <v>20</v>
      </c>
      <c r="G7" s="17" t="s">
        <v>11</v>
      </c>
      <c r="H7" s="18">
        <v>40.0</v>
      </c>
    </row>
    <row r="8" ht="42.0" customHeight="1">
      <c r="A8" s="11"/>
      <c r="B8" s="14" t="s">
        <v>17</v>
      </c>
      <c r="C8" s="15" t="s">
        <v>21</v>
      </c>
      <c r="D8" s="15" t="s">
        <v>22</v>
      </c>
      <c r="E8" s="16">
        <v>1.0</v>
      </c>
      <c r="F8" s="16" t="s">
        <v>20</v>
      </c>
      <c r="G8" s="17" t="s">
        <v>11</v>
      </c>
      <c r="H8" s="18">
        <v>5.0</v>
      </c>
    </row>
    <row r="9" ht="30.0" customHeight="1">
      <c r="A9" s="11"/>
      <c r="B9" s="14" t="s">
        <v>17</v>
      </c>
      <c r="C9" s="15" t="s">
        <v>23</v>
      </c>
      <c r="D9" s="15" t="s">
        <v>24</v>
      </c>
      <c r="E9" s="16">
        <v>1.0</v>
      </c>
      <c r="F9" s="16" t="s">
        <v>20</v>
      </c>
      <c r="G9" s="17" t="s">
        <v>11</v>
      </c>
      <c r="H9" s="18">
        <v>10.0</v>
      </c>
    </row>
    <row r="10" ht="35.25" customHeight="1">
      <c r="A10" s="11"/>
      <c r="B10" s="14" t="s">
        <v>17</v>
      </c>
      <c r="C10" s="15" t="s">
        <v>25</v>
      </c>
      <c r="D10" s="15" t="s">
        <v>26</v>
      </c>
      <c r="E10" s="16">
        <v>1.0</v>
      </c>
      <c r="F10" s="16" t="s">
        <v>20</v>
      </c>
      <c r="G10" s="17" t="s">
        <v>11</v>
      </c>
      <c r="H10" s="18">
        <v>15.0</v>
      </c>
    </row>
    <row r="11" ht="36.0" customHeight="1">
      <c r="A11" s="11"/>
      <c r="B11" s="14" t="s">
        <v>27</v>
      </c>
      <c r="C11" s="15" t="s">
        <v>28</v>
      </c>
      <c r="D11" s="15" t="s">
        <v>29</v>
      </c>
      <c r="E11" s="16">
        <v>1.0</v>
      </c>
      <c r="F11" s="16" t="s">
        <v>30</v>
      </c>
      <c r="G11" s="17" t="s">
        <v>11</v>
      </c>
      <c r="H11" s="18">
        <v>15.0</v>
      </c>
    </row>
    <row r="12" ht="29.25" customHeight="1">
      <c r="A12" s="11"/>
      <c r="B12" s="14" t="s">
        <v>27</v>
      </c>
      <c r="C12" s="15" t="s">
        <v>31</v>
      </c>
      <c r="D12" s="15" t="s">
        <v>32</v>
      </c>
      <c r="E12" s="16">
        <v>1.0</v>
      </c>
      <c r="F12" s="16" t="s">
        <v>30</v>
      </c>
      <c r="G12" s="17" t="s">
        <v>11</v>
      </c>
      <c r="H12" s="18">
        <v>30.0</v>
      </c>
    </row>
    <row r="13" ht="33.75" customHeight="1">
      <c r="A13" s="11"/>
      <c r="B13" s="14" t="s">
        <v>27</v>
      </c>
      <c r="C13" s="15" t="s">
        <v>54</v>
      </c>
      <c r="D13" s="15" t="s">
        <v>34</v>
      </c>
      <c r="E13" s="16">
        <v>1.0</v>
      </c>
      <c r="F13" s="16" t="s">
        <v>30</v>
      </c>
      <c r="G13" s="17" t="s">
        <v>11</v>
      </c>
      <c r="H13" s="18">
        <v>15.0</v>
      </c>
    </row>
    <row r="14" ht="33.75" customHeight="1">
      <c r="A14" s="11"/>
      <c r="B14" s="14" t="s">
        <v>35</v>
      </c>
      <c r="C14" s="15" t="s">
        <v>55</v>
      </c>
      <c r="D14" s="15" t="s">
        <v>56</v>
      </c>
      <c r="E14" s="16">
        <v>1.0</v>
      </c>
      <c r="F14" s="16" t="s">
        <v>38</v>
      </c>
      <c r="G14" s="17" t="s">
        <v>11</v>
      </c>
      <c r="H14" s="18">
        <v>40.0</v>
      </c>
    </row>
    <row r="15" ht="35.25" customHeight="1">
      <c r="A15" s="11"/>
      <c r="B15" s="14" t="s">
        <v>35</v>
      </c>
      <c r="C15" s="15" t="s">
        <v>39</v>
      </c>
      <c r="D15" s="15" t="s">
        <v>40</v>
      </c>
      <c r="E15" s="16">
        <v>1.0</v>
      </c>
      <c r="F15" s="16" t="s">
        <v>38</v>
      </c>
      <c r="G15" s="17" t="s">
        <v>57</v>
      </c>
      <c r="H15" s="14" t="s">
        <v>41</v>
      </c>
    </row>
    <row r="16" ht="34.5" customHeight="1">
      <c r="A16" s="11"/>
      <c r="B16" s="14" t="s">
        <v>42</v>
      </c>
      <c r="C16" s="15" t="s">
        <v>43</v>
      </c>
      <c r="D16" s="15" t="s">
        <v>44</v>
      </c>
      <c r="E16" s="16">
        <v>2.0</v>
      </c>
      <c r="F16" s="16" t="s">
        <v>10</v>
      </c>
      <c r="G16" s="17" t="s">
        <v>53</v>
      </c>
      <c r="H16" s="18">
        <v>20.0</v>
      </c>
    </row>
    <row r="17" ht="37.5" customHeight="1">
      <c r="A17" s="11"/>
      <c r="B17" s="14" t="s">
        <v>42</v>
      </c>
      <c r="C17" s="15" t="s">
        <v>45</v>
      </c>
      <c r="D17" s="15" t="s">
        <v>46</v>
      </c>
      <c r="E17" s="16" t="s">
        <v>58</v>
      </c>
      <c r="F17" s="16" t="s">
        <v>10</v>
      </c>
      <c r="G17" s="17" t="s">
        <v>53</v>
      </c>
      <c r="H17" s="18">
        <v>10.0</v>
      </c>
    </row>
    <row r="18" ht="35.25" customHeight="1">
      <c r="A18" s="11"/>
      <c r="B18" s="14" t="s">
        <v>42</v>
      </c>
      <c r="C18" s="15" t="s">
        <v>49</v>
      </c>
      <c r="D18" s="15" t="s">
        <v>50</v>
      </c>
      <c r="E18" s="16">
        <v>2.0</v>
      </c>
      <c r="F18" s="16" t="s">
        <v>10</v>
      </c>
      <c r="G18" s="17" t="s">
        <v>11</v>
      </c>
      <c r="H18" s="18">
        <v>30.0</v>
      </c>
    </row>
  </sheetData>
  <dataValidations>
    <dataValidation type="list" allowBlank="1" sqref="G4:G18">
      <formula1>"À vérifier,À vérifier,À commander,À commander,À commander,À commander,À commander,À commander,À commander,À commander,À commander,À prévoir,À vérifier,À vérifier,À commander"</formula1>
    </dataValidation>
    <dataValidation type="list" allowBlank="1" sqref="F4:F18">
      <formula1>"Commun,Commun,Commun,Julien,Julien,Julien,Julien,Lucas,Lucas,Lucas,Sohan,Sohan,Commun,Commun,Commun"</formula1>
    </dataValidation>
    <dataValidation type="list" allowBlank="1" sqref="E4:E18">
      <formula1>"2,2,1,1,1,1,1,1,1,1,1,1,2,1 lot,2"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