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enclature V1" sheetId="1" r:id="rId4"/>
    <sheet state="visible" name="Nomenclature V2" sheetId="2" r:id="rId5"/>
    <sheet state="visible" name="Ce qui manque" sheetId="3" r:id="rId6"/>
  </sheets>
  <definedNames/>
  <calcPr/>
  <extLst>
    <ext uri="GoogleSheetsCustomDataVersion2">
      <go:sheetsCustomData xmlns:go="http://customooxmlschemas.google.com/" r:id="rId7" roundtripDataChecksum="WeVEi2QKfxIt4hc6zguqXoUuZdGJkCh/PoyoAjQ3jFE="/>
    </ext>
  </extLst>
</workbook>
</file>

<file path=xl/sharedStrings.xml><?xml version="1.0" encoding="utf-8"?>
<sst xmlns="http://schemas.openxmlformats.org/spreadsheetml/2006/main" count="179" uniqueCount="97">
  <si>
    <t>Catégorie</t>
  </si>
  <si>
    <t>Matériel / Composant</t>
  </si>
  <si>
    <t>Réf. ou Détails Techniques</t>
  </si>
  <si>
    <t>Quantité</t>
  </si>
  <si>
    <t>Pour Qui ?</t>
  </si>
  <si>
    <t>État (On a / On a pas)</t>
  </si>
  <si>
    <t>Budget Est.</t>
  </si>
  <si>
    <t>Cœur Système</t>
  </si>
  <si>
    <t>Raspberry Pi 3</t>
  </si>
  <si>
    <t>Modèle B recommandé</t>
  </si>
  <si>
    <t>Commun</t>
  </si>
  <si>
    <t xml:space="preserve">On A </t>
  </si>
  <si>
    <t>Carte d'interface GrovePi+</t>
  </si>
  <si>
    <t>Hat pour Raspberry Pi</t>
  </si>
  <si>
    <t>On A</t>
  </si>
  <si>
    <t>Alimentation Solaire</t>
  </si>
  <si>
    <t>Batterie + Panneau Solaire</t>
  </si>
  <si>
    <t>À commander</t>
  </si>
  <si>
    <t>--</t>
  </si>
  <si>
    <t>Étudiant 1 (Julien)</t>
  </si>
  <si>
    <t>Capteur de Force (200kg)</t>
  </si>
  <si>
    <t>Réf: CZL204E-200 (Imposé)</t>
  </si>
  <si>
    <t>Julien</t>
  </si>
  <si>
    <t>Amplificateur Jauge</t>
  </si>
  <si>
    <t>Type HX711 (Indispensable pour la jauge)</t>
  </si>
  <si>
    <t>Capteur Température Interne</t>
  </si>
  <si>
    <t>Sonde étanche (type DS18B20)</t>
  </si>
  <si>
    <t>Émetteur Radio (Pico-réseau)</t>
  </si>
  <si>
    <t>Module 433MHz ou LoRa Grove</t>
  </si>
  <si>
    <t>Étudiant 2 (Lucas)</t>
  </si>
  <si>
    <t>Capteur Température/Humidité</t>
  </si>
  <si>
    <t>Grove - Temp&amp;Humi Sensor (BME280)</t>
  </si>
  <si>
    <t>Lucas</t>
  </si>
  <si>
    <t>Module GPS</t>
  </si>
  <si>
    <t>Grove - GPS Module</t>
  </si>
  <si>
    <t>Récepteur Radio (Pico-réseau – Ruche mère)</t>
  </si>
  <si>
    <t>Module 433MHz ou LoRa Grove (Même tech que Julien)</t>
  </si>
  <si>
    <t>Étudiant 3 (Sohan)</t>
  </si>
  <si>
    <t>Module GSM / GPRS (comprend un module gps donc sa voir)</t>
  </si>
  <si>
    <t>Waveshare SIM7600G-H 4G HAT</t>
  </si>
  <si>
    <t>Sohan</t>
  </si>
  <si>
    <t>Carte SIM</t>
  </si>
  <si>
    <t>Format selon module (M2M ou Prépayé)</t>
  </si>
  <si>
    <t>-</t>
  </si>
  <si>
    <t>Divers</t>
  </si>
  <si>
    <t>Carte Micro SD</t>
  </si>
  <si>
    <t>16Go ou 32Go (Pour OS Raspberry)</t>
  </si>
  <si>
    <t>Câblage</t>
  </si>
  <si>
    <t>Kit câbles Grove 4 pins + Jumpers</t>
  </si>
  <si>
    <t xml:space="preserve">Amplificateur </t>
  </si>
  <si>
    <t>Amplificateur HX711</t>
  </si>
  <si>
    <t>Boîtiers Étanches</t>
  </si>
  <si>
    <t>Pour protéger l'électronique en extérieur</t>
  </si>
  <si>
    <t>Total</t>
  </si>
  <si>
    <t>Quantity</t>
  </si>
  <si>
    <t>Material Name</t>
  </si>
  <si>
    <t>Room Selection</t>
  </si>
  <si>
    <t>Reference ID</t>
  </si>
  <si>
    <t>Date Acquired</t>
  </si>
  <si>
    <t>Notes</t>
  </si>
  <si>
    <t xml:space="preserve">Cable Micro USB B </t>
  </si>
  <si>
    <t>W13</t>
  </si>
  <si>
    <t>""</t>
  </si>
  <si>
    <t>Grouve Pi+</t>
  </si>
  <si>
    <t xml:space="preserve">Disque Dur </t>
  </si>
  <si>
    <t xml:space="preserve">cable HDMI --&gt; Micro HDMI </t>
  </si>
  <si>
    <t>Capteur GPS</t>
  </si>
  <si>
    <t>Micro SD 32 GB</t>
  </si>
  <si>
    <t>W12/W13</t>
  </si>
  <si>
    <t xml:space="preserve">Capteur température et humidité </t>
  </si>
  <si>
    <t>Protection capteur GPS</t>
  </si>
  <si>
    <t xml:space="preserve">Raspberry PI 3 B </t>
  </si>
  <si>
    <t>Breadboard</t>
  </si>
  <si>
    <t>NASS TS-133</t>
  </si>
  <si>
    <t>TP- LINK Point Acces</t>
  </si>
  <si>
    <t xml:space="preserve">Capteur de Température </t>
  </si>
  <si>
    <t>W12</t>
  </si>
  <si>
    <t xml:space="preserve">Cable de connexion pour les capteurs </t>
  </si>
  <si>
    <t>Item Name</t>
  </si>
  <si>
    <t>Product Reference</t>
  </si>
  <si>
    <t>Source</t>
  </si>
  <si>
    <t>Price</t>
  </si>
  <si>
    <t xml:space="preserve">Alimentation Solaire </t>
  </si>
  <si>
    <t xml:space="preserve">Alimentation solaire </t>
  </si>
  <si>
    <t>CZL204E-200</t>
  </si>
  <si>
    <t>Capteur de force</t>
  </si>
  <si>
    <t xml:space="preserve">Amplificateur Jauge </t>
  </si>
  <si>
    <t>Amplificateur de Jauge</t>
  </si>
  <si>
    <t xml:space="preserve">Emetteur Radio </t>
  </si>
  <si>
    <t>WPI469</t>
  </si>
  <si>
    <t xml:space="preserve">Module GSM / GPRS </t>
  </si>
  <si>
    <t>SIM7600G-H 17372</t>
  </si>
  <si>
    <t>Module GSM</t>
  </si>
  <si>
    <t>Cablage</t>
  </si>
  <si>
    <t>Boitier étanche</t>
  </si>
  <si>
    <t xml:space="preserve">IP207337
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</si>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</sst>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&quot;€&quot;"/>
    <numFmt numFmtId="166" formatCode="#,##0&quot;€&quot;"/>
  </numFmts>
  <fonts count="10">
    <font>
      <sz val="10.0"/>
      <color rgb="FF000000"/>
      <name val="Arial"/>
      <scheme val="minor"/>
    </font>
    <font>
      <color theme="1"/>
      <name val="Arial"/>
    </font>
    <font>
      <u/>
      <color rgb="FF0000FF"/>
      <name val="Roboto"/>
    </font>
    <font>
      <u/>
      <color rgb="FF0000FF"/>
      <name val="Roboto"/>
    </font>
    <font>
      <sz val="13.0"/>
      <color theme="1"/>
      <name val="Roboto"/>
    </font>
    <font>
      <sz val="13.0"/>
      <color rgb="FF434343"/>
      <name val="Roboto"/>
    </font>
    <font>
      <color theme="1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3E4791"/>
      </bottom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3E4791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1" fillId="2" fontId="5" numFmtId="0" xfId="0" applyAlignment="1" applyBorder="1" applyFill="1" applyFont="1">
      <alignment horizontal="right" shrinkToFit="0" vertical="center" wrapText="0"/>
    </xf>
    <xf borderId="2" fillId="2" fontId="5" numFmtId="0" xfId="0" applyAlignment="1" applyBorder="1" applyFont="1">
      <alignment shrinkToFit="0" vertical="center" wrapText="1"/>
    </xf>
    <xf borderId="2" fillId="2" fontId="5" numFmtId="0" xfId="0" applyAlignment="1" applyBorder="1" applyFont="1">
      <alignment shrinkToFit="0" vertical="center" wrapText="0"/>
    </xf>
    <xf borderId="2" fillId="2" fontId="5" numFmtId="164" xfId="0" applyAlignment="1" applyBorder="1" applyFont="1" applyNumberFormat="1">
      <alignment horizontal="right" shrinkToFit="0" vertical="center" wrapText="0"/>
    </xf>
    <xf borderId="3" fillId="2" fontId="1" numFmtId="0" xfId="0" applyAlignment="1" applyBorder="1" applyFont="1">
      <alignment shrinkToFit="0" vertical="center" wrapText="0"/>
    </xf>
    <xf borderId="4" fillId="3" fontId="5" numFmtId="0" xfId="0" applyAlignment="1" applyBorder="1" applyFill="1" applyFont="1">
      <alignment horizontal="right" shrinkToFit="0" vertical="center" wrapText="0"/>
    </xf>
    <xf borderId="5" fillId="3" fontId="5" numFmtId="0" xfId="0" applyAlignment="1" applyBorder="1" applyFont="1">
      <alignment shrinkToFit="0" vertical="center" wrapText="1"/>
    </xf>
    <xf borderId="5" fillId="3" fontId="5" numFmtId="0" xfId="0" applyAlignment="1" applyBorder="1" applyFont="1">
      <alignment shrinkToFit="0" vertical="center" wrapText="0"/>
    </xf>
    <xf borderId="5" fillId="3" fontId="5" numFmtId="164" xfId="0" applyAlignment="1" applyBorder="1" applyFont="1" applyNumberFormat="1">
      <alignment horizontal="right" shrinkToFit="0" vertical="center" wrapText="0"/>
    </xf>
    <xf borderId="6" fillId="3" fontId="1" numFmtId="0" xfId="0" applyAlignment="1" applyBorder="1" applyFont="1">
      <alignment shrinkToFit="0" vertical="center" wrapText="0"/>
    </xf>
    <xf borderId="7" fillId="3" fontId="5" numFmtId="0" xfId="0" applyAlignment="1" applyBorder="1" applyFont="1">
      <alignment horizontal="right" shrinkToFit="0" vertical="center" wrapText="0"/>
    </xf>
    <xf borderId="8" fillId="3" fontId="5" numFmtId="0" xfId="0" applyAlignment="1" applyBorder="1" applyFont="1">
      <alignment shrinkToFit="0" vertical="center" wrapText="1"/>
    </xf>
    <xf borderId="8" fillId="3" fontId="5" numFmtId="0" xfId="0" applyAlignment="1" applyBorder="1" applyFont="1">
      <alignment shrinkToFit="0" vertical="center" wrapText="0"/>
    </xf>
    <xf borderId="8" fillId="3" fontId="5" numFmtId="164" xfId="0" applyAlignment="1" applyBorder="1" applyFont="1" applyNumberFormat="1">
      <alignment horizontal="right" shrinkToFit="0" vertical="center" wrapText="0"/>
    </xf>
    <xf borderId="9" fillId="3" fontId="1" numFmtId="0" xfId="0" applyAlignment="1" applyBorder="1" applyFont="1">
      <alignment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1" fillId="2" fontId="7" numFmtId="0" xfId="0" applyAlignment="1" applyBorder="1" applyFont="1">
      <alignment horizontal="right" shrinkToFit="0" vertical="center" wrapText="0"/>
    </xf>
    <xf borderId="2" fillId="2" fontId="7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horizontal="right" shrinkToFit="0" vertical="center" wrapText="0"/>
    </xf>
    <xf borderId="2" fillId="2" fontId="8" numFmtId="0" xfId="0" applyAlignment="1" applyBorder="1" applyFont="1">
      <alignment shrinkToFit="0" vertical="center" wrapText="0"/>
    </xf>
    <xf borderId="2" fillId="2" fontId="7" numFmtId="165" xfId="0" applyAlignment="1" applyBorder="1" applyFont="1" applyNumberFormat="1">
      <alignment horizontal="right" shrinkToFit="0" vertical="center" wrapText="0"/>
    </xf>
    <xf borderId="3" fillId="2" fontId="7" numFmtId="0" xfId="0" applyAlignment="1" applyBorder="1" applyFont="1">
      <alignment shrinkToFit="0" vertical="center" wrapText="0"/>
    </xf>
    <xf borderId="4" fillId="3" fontId="7" numFmtId="0" xfId="0" applyAlignment="1" applyBorder="1" applyFont="1">
      <alignment horizontal="right" shrinkToFit="0" vertical="center" wrapText="0"/>
    </xf>
    <xf borderId="5" fillId="3" fontId="7" numFmtId="0" xfId="0" applyAlignment="1" applyBorder="1" applyFont="1">
      <alignment shrinkToFit="0" vertical="center" wrapText="0"/>
    </xf>
    <xf borderId="5" fillId="3" fontId="7" numFmtId="0" xfId="0" applyAlignment="1" applyBorder="1" applyFont="1">
      <alignment horizontal="right" shrinkToFit="0" vertical="center" wrapText="0"/>
    </xf>
    <xf borderId="5" fillId="3" fontId="9" numFmtId="0" xfId="0" applyAlignment="1" applyBorder="1" applyFont="1">
      <alignment shrinkToFit="0" vertical="center" wrapText="0"/>
    </xf>
    <xf borderId="5" fillId="3" fontId="7" numFmtId="165" xfId="0" applyAlignment="1" applyBorder="1" applyFont="1" applyNumberFormat="1">
      <alignment horizontal="right" shrinkToFit="0" vertical="center" wrapText="0"/>
    </xf>
    <xf borderId="6" fillId="3" fontId="7" numFmtId="0" xfId="0" applyAlignment="1" applyBorder="1" applyFont="1">
      <alignment shrinkToFit="0" vertical="center" wrapText="0"/>
    </xf>
    <xf borderId="2" fillId="2" fontId="7" numFmtId="0" xfId="0" applyAlignment="1" applyBorder="1" applyFont="1">
      <alignment readingOrder="0" shrinkToFit="0" vertical="center" wrapText="0"/>
    </xf>
    <xf borderId="5" fillId="3" fontId="1" numFmtId="0" xfId="0" applyAlignment="1" applyBorder="1" applyFont="1">
      <alignment shrinkToFit="0" vertical="center" wrapText="0"/>
    </xf>
    <xf borderId="5" fillId="3" fontId="7" numFmtId="166" xfId="0" applyAlignment="1" applyBorder="1" applyFont="1" applyNumberFormat="1">
      <alignment horizontal="right" shrinkToFit="0" vertical="center" wrapText="0"/>
    </xf>
    <xf borderId="7" fillId="3" fontId="7" numFmtId="0" xfId="0" applyAlignment="1" applyBorder="1" applyFont="1">
      <alignment shrinkToFit="0" vertical="center" wrapText="0"/>
    </xf>
    <xf borderId="8" fillId="3" fontId="7" numFmtId="0" xfId="0" applyAlignment="1" applyBorder="1" applyFont="1">
      <alignment shrinkToFit="0" vertical="center" wrapText="0"/>
    </xf>
    <xf borderId="8" fillId="3" fontId="7" numFmtId="165" xfId="0" applyAlignment="1" applyBorder="1" applyFont="1" applyNumberFormat="1">
      <alignment horizontal="right" shrinkToFit="0" vertical="center" wrapText="0"/>
    </xf>
    <xf borderId="9" fillId="3" fontId="7" numFmtId="0" xfId="0" applyAlignment="1" applyBorder="1" applyFon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3">
    <tableStyle count="3" pivot="0" name="Nomenclature V1-style">
      <tableStyleElement dxfId="1" type="headerRow"/>
      <tableStyleElement dxfId="2" type="firstRowStripe"/>
      <tableStyleElement dxfId="3" type="secondRowStripe"/>
    </tableStyle>
    <tableStyle count="4" pivot="0" name="Nomenclature V2-style">
      <tableStyleElement dxfId="4" type="headerRow"/>
      <tableStyleElement dxfId="2" type="firstRowStripe"/>
      <tableStyleElement dxfId="3" type="secondRowStripe"/>
      <tableStyleElement dxfId="5" size="0" type="wholeTable"/>
    </tableStyle>
    <tableStyle count="4" pivot="0" name="Ce qui manque-style">
      <tableStyleElement dxfId="4" type="headerRow"/>
      <tableStyleElement dxfId="2" type="firstRowStripe"/>
      <tableStyleElement dxfId="3" type="secondRowStripe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8" displayName="Table_1" name="Table_1" id="1">
  <tableColumns count="7">
    <tableColumn name="Catégorie" id="1"/>
    <tableColumn name="Matériel / Composant" id="2"/>
    <tableColumn name="Réf. ou Détails Techniques" id="3"/>
    <tableColumn name="Quantité" id="4"/>
    <tableColumn name="Pour Qui ?" id="5"/>
    <tableColumn name="État (On a / On a pas)" id="6"/>
    <tableColumn name="Budget Est." id="7"/>
  </tableColumns>
  <tableStyleInfo name="Nomenclature V1-style" showColumnStripes="0" showFirstColumn="1" showLastColumn="1" showRowStripes="1"/>
</table>
</file>

<file path=xl/tables/table2.xml><?xml version="1.0" encoding="utf-8"?>
<table xmlns="http://schemas.openxmlformats.org/spreadsheetml/2006/main" ref="C1:H15" displayName="Tableau1" name="Tableau1" id="2">
  <tableColumns count="6">
    <tableColumn name="Quantity" id="1"/>
    <tableColumn name="Material Name" id="2"/>
    <tableColumn name="Room Selection" id="3"/>
    <tableColumn name="Reference ID" id="4"/>
    <tableColumn name="Date Acquired" id="5"/>
    <tableColumn name="Notes" id="6"/>
  </tableColumns>
  <tableStyleInfo name="Nomenclature V2-style" showColumnStripes="0" showFirstColumn="1" showLastColumn="1" showRowStripes="1"/>
</table>
</file>

<file path=xl/tables/table3.xml><?xml version="1.0" encoding="utf-8"?>
<table xmlns="http://schemas.openxmlformats.org/spreadsheetml/2006/main" ref="A2:F12" displayName="Tableau2" name="Tableau2" id="3">
  <tableColumns count="6">
    <tableColumn name="Quantity" id="1"/>
    <tableColumn name="Item Name" id="2"/>
    <tableColumn name="Product Reference" id="3"/>
    <tableColumn name="Source" id="4"/>
    <tableColumn name="Price" id="5"/>
    <tableColumn name="Notes" id="6"/>
  </tableColumns>
  <tableStyleInfo name="Ce qui man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gotronic.fr/art-module-hat-lte-4g-sim7600g-h-35490.htm?srsltid=AfmBOopU6zKOwz5RxmxKkTrox49YegHiG-y6L4PpFvb2zun9Z3QqA-JZ" TargetMode="External"/><Relationship Id="rId10" Type="http://schemas.openxmlformats.org/officeDocument/2006/relationships/hyperlink" Target="https://www.gotronic.fr/art-module-gps-grove-109020022-31996.htm" TargetMode="External"/><Relationship Id="rId13" Type="http://schemas.openxmlformats.org/officeDocument/2006/relationships/hyperlink" Target="https://www.gotronic.fr/art-5-cables-20-cm-grove-4-contacts-males-23368.htm" TargetMode="External"/><Relationship Id="rId12" Type="http://schemas.openxmlformats.org/officeDocument/2006/relationships/hyperlink" Target="https://www.ldlc.pro/fiche/PB00486746.html" TargetMode="External"/><Relationship Id="rId1" Type="http://schemas.openxmlformats.org/officeDocument/2006/relationships/hyperlink" Target="https://www.ldlc.pro/fiche/PB00246555.html" TargetMode="External"/><Relationship Id="rId2" Type="http://schemas.openxmlformats.org/officeDocument/2006/relationships/hyperlink" Target="https://www.gotronic.fr/art-module-grovepi-103010002-23075.htm" TargetMode="External"/><Relationship Id="rId3" Type="http://schemas.openxmlformats.org/officeDocument/2006/relationships/hyperlink" Target="https://www.manomano.fr/p/kit-de-panneaux-solaires-50w-60a-contrleur-de-charge-solaire-ensemble-avec-2-sorties-usb-pour-camping-car-panne-delectricite-79331202" TargetMode="External"/><Relationship Id="rId4" Type="http://schemas.openxmlformats.org/officeDocument/2006/relationships/hyperlink" Target="https://www.manomano.fr/p/batterie-plomb-agm-yuasa-np7-12-12v-7ah-f48-7399952" TargetMode="External"/><Relationship Id="rId9" Type="http://schemas.openxmlformats.org/officeDocument/2006/relationships/hyperlink" Target="https://www.gotronic.fr/art-capteur-de-pression-de-t-et-d-humidite-grove-101020193-25133.htm?srsltid=AfmBOop2JlpRVnO4NrzJ7r2XOlTlYb8ponq2_3Eac7c8d-w8Oza4myjl" TargetMode="External"/><Relationship Id="rId15" Type="http://schemas.openxmlformats.org/officeDocument/2006/relationships/hyperlink" Target="https://www.gotronic.fr/art-boitier-etanche-abs-ip207337-6695.htm" TargetMode="External"/><Relationship Id="rId14" Type="http://schemas.openxmlformats.org/officeDocument/2006/relationships/hyperlink" Target="https://www.gotronic.fr/art-amplificateur-hx711-grove-101020712-31346.htm?srsltid=AfmBOorF8IA4kQSmB33yegSe50ZCJ4YXU4rIVihkLTyrwQY23R8TOiSg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gotronic.fr/art-capteur-de-force-200-kg-czl204e-200-19654.htm?srsltid=AfmBOoqA2oJ_OZZbWmRrUFg5TTaTTZ1dbdGZNNFkhgwrfgtjX9s8FWRN" TargetMode="External"/><Relationship Id="rId6" Type="http://schemas.openxmlformats.org/officeDocument/2006/relationships/hyperlink" Target="https://www.gotronic.fr/art-amplificateur-hx711-grove-101020712-31346.htm?srsltid=AfmBOopgNNKJd_byiNLYDmboTORZn4S5g3hnTK2h0edqjrbQrS9jCxR8" TargetMode="External"/><Relationship Id="rId18" Type="http://schemas.openxmlformats.org/officeDocument/2006/relationships/table" Target="../tables/table1.xml"/><Relationship Id="rId7" Type="http://schemas.openxmlformats.org/officeDocument/2006/relationships/hyperlink" Target="https://www.gotronic.fr/art-sonde-etanche-ds18b20-19339.htm?srsltid=AfmBOoqRxRSFGsoylJQffjR8LlTu0HIpKnnvtHvdS7IcNDCSBNKQ-8Ce" TargetMode="External"/><Relationship Id="rId8" Type="http://schemas.openxmlformats.org/officeDocument/2006/relationships/hyperlink" Target="https://www.gotronic.fr/art-module-rf-433mhz-e-r-40212.ht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table" Target="../tables/table3.xml"/><Relationship Id="rId1" Type="http://schemas.openxmlformats.org/officeDocument/2006/relationships/hyperlink" Target="https://www.manomano.fr/p/kit-de-panneaux-solaires-50w-60a-contrleur-de-charge-solaire-ensemble-avec-2-sorties-usb-pour-camping-car-panne-delectricite-79331202" TargetMode="External"/><Relationship Id="rId2" Type="http://schemas.openxmlformats.org/officeDocument/2006/relationships/hyperlink" Target="https://www.gotronic.fr/art-capteur-de-force-200-kg-czl204e-200-19654.htm?srsltid=AfmBOoqA2oJ_OZZbWmRrUFg5TTaTTZ1dbdGZNNFkhgwrfgtjX9s8FWRN" TargetMode="External"/><Relationship Id="rId3" Type="http://schemas.openxmlformats.org/officeDocument/2006/relationships/hyperlink" Target="https://www.gotronic.fr/art-amplificateur-hx711-grove-101020712-31346.htm?srsltid=AfmBOopgNNKJd_byiNLYDmboTORZn4S5g3hnTK2h0edqjrbQrS9jCxR8" TargetMode="External"/><Relationship Id="rId4" Type="http://schemas.openxmlformats.org/officeDocument/2006/relationships/hyperlink" Target="https://www.gotronic.fr/art-module-rf-433mhz-e-r-40212.htm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www.gotronic.fr/art-module-hat-lte-4g-sim7600g-h-35490.htm?srsltid=AfmBOopU6zKOwz5RxmxKkTrox49YegHiG-y6L4PpFvb2zun9Z3QqA-JZ" TargetMode="External"/><Relationship Id="rId6" Type="http://schemas.openxmlformats.org/officeDocument/2006/relationships/hyperlink" Target="https://www.gotronic.fr/art-5-cables-20-cm-grove-4-contacts-males-23368.htm" TargetMode="External"/><Relationship Id="rId7" Type="http://schemas.openxmlformats.org/officeDocument/2006/relationships/hyperlink" Target="https://www.gotronic.fr/art-boitier-etanche-abs-ip207337-6695.htm" TargetMode="External"/><Relationship Id="rId8" Type="http://schemas.openxmlformats.org/officeDocument/2006/relationships/hyperlink" Target="https://www.gotronic.fr/art-amplificateur-hx711-grove-101020712-31346.htm?srsltid=AfmBOorF8IA4kQSmB33yegSe50ZCJ4YXU4rIVihkLTyrwQY23R8TOi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0"/>
    <col customWidth="1" min="2" max="2" width="25.38"/>
    <col customWidth="1" min="3" max="3" width="37.63"/>
    <col customWidth="1" min="4" max="4" width="15.0"/>
    <col customWidth="1" min="5" max="5" width="16.25"/>
    <col customWidth="1" min="6" max="6" width="24.63"/>
    <col customWidth="1" min="7" max="7" width="1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2" t="s">
        <v>9</v>
      </c>
      <c r="D2" s="2">
        <v>2.0</v>
      </c>
      <c r="E2" s="2" t="s">
        <v>10</v>
      </c>
      <c r="F2" s="4" t="s">
        <v>11</v>
      </c>
      <c r="G2" s="2">
        <v>100.0</v>
      </c>
    </row>
    <row r="3" ht="22.5" customHeight="1">
      <c r="A3" s="2" t="s">
        <v>7</v>
      </c>
      <c r="B3" s="3" t="s">
        <v>12</v>
      </c>
      <c r="C3" s="2" t="s">
        <v>13</v>
      </c>
      <c r="D3" s="2">
        <v>2.0</v>
      </c>
      <c r="E3" s="2" t="s">
        <v>10</v>
      </c>
      <c r="F3" s="4" t="s">
        <v>14</v>
      </c>
      <c r="G3" s="2">
        <v>47.0</v>
      </c>
    </row>
    <row r="4" ht="22.5" customHeight="1">
      <c r="A4" s="2" t="s">
        <v>7</v>
      </c>
      <c r="B4" s="3" t="s">
        <v>15</v>
      </c>
      <c r="C4" s="3" t="s">
        <v>16</v>
      </c>
      <c r="D4" s="2">
        <v>1.0</v>
      </c>
      <c r="E4" s="2" t="s">
        <v>10</v>
      </c>
      <c r="F4" s="4" t="s">
        <v>17</v>
      </c>
      <c r="G4" s="2" t="s">
        <v>18</v>
      </c>
    </row>
    <row r="5" ht="22.5" customHeight="1">
      <c r="A5" s="2" t="s">
        <v>19</v>
      </c>
      <c r="B5" s="3" t="s">
        <v>20</v>
      </c>
      <c r="C5" s="2" t="s">
        <v>21</v>
      </c>
      <c r="D5" s="2">
        <v>1.0</v>
      </c>
      <c r="E5" s="2" t="s">
        <v>22</v>
      </c>
      <c r="F5" s="4" t="s">
        <v>17</v>
      </c>
      <c r="G5" s="2">
        <v>60.0</v>
      </c>
    </row>
    <row r="6" ht="22.5" customHeight="1">
      <c r="A6" s="2" t="s">
        <v>19</v>
      </c>
      <c r="B6" s="3" t="s">
        <v>23</v>
      </c>
      <c r="C6" s="2" t="s">
        <v>24</v>
      </c>
      <c r="D6" s="2">
        <v>1.0</v>
      </c>
      <c r="E6" s="2" t="s">
        <v>22</v>
      </c>
      <c r="F6" s="4" t="s">
        <v>17</v>
      </c>
      <c r="G6" s="2">
        <v>6.0</v>
      </c>
    </row>
    <row r="7" ht="22.5" customHeight="1">
      <c r="A7" s="2" t="s">
        <v>19</v>
      </c>
      <c r="B7" s="3" t="s">
        <v>25</v>
      </c>
      <c r="C7" s="2" t="s">
        <v>26</v>
      </c>
      <c r="D7" s="2">
        <v>1.0</v>
      </c>
      <c r="E7" s="2" t="s">
        <v>22</v>
      </c>
      <c r="F7" s="4" t="s">
        <v>14</v>
      </c>
      <c r="G7" s="2">
        <v>10.0</v>
      </c>
    </row>
    <row r="8" ht="22.5" customHeight="1">
      <c r="A8" s="2" t="s">
        <v>19</v>
      </c>
      <c r="B8" s="3" t="s">
        <v>27</v>
      </c>
      <c r="C8" s="2" t="s">
        <v>28</v>
      </c>
      <c r="D8" s="2">
        <v>1.0</v>
      </c>
      <c r="E8" s="2" t="s">
        <v>22</v>
      </c>
      <c r="F8" s="2" t="s">
        <v>17</v>
      </c>
      <c r="G8" s="2">
        <v>10.0</v>
      </c>
    </row>
    <row r="9" ht="22.5" customHeight="1">
      <c r="A9" s="2" t="s">
        <v>29</v>
      </c>
      <c r="B9" s="3" t="s">
        <v>30</v>
      </c>
      <c r="C9" s="4" t="s">
        <v>31</v>
      </c>
      <c r="D9" s="2">
        <v>1.0</v>
      </c>
      <c r="E9" s="2" t="s">
        <v>32</v>
      </c>
      <c r="F9" s="4" t="s">
        <v>14</v>
      </c>
      <c r="G9" s="2">
        <v>24.0</v>
      </c>
    </row>
    <row r="10" ht="22.5" customHeight="1">
      <c r="A10" s="2" t="s">
        <v>29</v>
      </c>
      <c r="B10" s="3" t="s">
        <v>33</v>
      </c>
      <c r="C10" s="2" t="s">
        <v>34</v>
      </c>
      <c r="D10" s="2">
        <v>1.0</v>
      </c>
      <c r="E10" s="2" t="s">
        <v>32</v>
      </c>
      <c r="F10" s="4" t="s">
        <v>14</v>
      </c>
      <c r="G10" s="2">
        <v>14.0</v>
      </c>
    </row>
    <row r="11" ht="22.5" customHeight="1">
      <c r="A11" s="2" t="s">
        <v>29</v>
      </c>
      <c r="B11" s="2" t="s">
        <v>35</v>
      </c>
      <c r="C11" s="2" t="s">
        <v>36</v>
      </c>
      <c r="D11" s="2">
        <v>1.0</v>
      </c>
      <c r="E11" s="2" t="s">
        <v>32</v>
      </c>
      <c r="F11" s="2" t="s">
        <v>17</v>
      </c>
      <c r="G11" s="2"/>
    </row>
    <row r="12" ht="22.5" customHeight="1">
      <c r="A12" s="2" t="s">
        <v>37</v>
      </c>
      <c r="B12" s="5" t="s">
        <v>38</v>
      </c>
      <c r="C12" s="2" t="s">
        <v>39</v>
      </c>
      <c r="D12" s="2">
        <v>1.0</v>
      </c>
      <c r="E12" s="2" t="s">
        <v>40</v>
      </c>
      <c r="F12" s="2" t="s">
        <v>17</v>
      </c>
      <c r="G12" s="2">
        <v>76.0</v>
      </c>
    </row>
    <row r="13" ht="22.5" customHeight="1">
      <c r="A13" s="2" t="s">
        <v>37</v>
      </c>
      <c r="B13" s="2" t="s">
        <v>41</v>
      </c>
      <c r="C13" s="2" t="s">
        <v>42</v>
      </c>
      <c r="D13" s="2">
        <v>1.0</v>
      </c>
      <c r="E13" s="2" t="s">
        <v>40</v>
      </c>
      <c r="F13" s="2" t="s">
        <v>17</v>
      </c>
      <c r="G13" s="2" t="s">
        <v>43</v>
      </c>
    </row>
    <row r="14" ht="22.5" customHeight="1">
      <c r="A14" s="2" t="s">
        <v>44</v>
      </c>
      <c r="B14" s="3" t="s">
        <v>45</v>
      </c>
      <c r="C14" s="2" t="s">
        <v>46</v>
      </c>
      <c r="D14" s="2">
        <v>2.0</v>
      </c>
      <c r="E14" s="2" t="s">
        <v>10</v>
      </c>
      <c r="F14" s="4" t="s">
        <v>14</v>
      </c>
      <c r="G14" s="2">
        <v>29.0</v>
      </c>
    </row>
    <row r="15" ht="22.5" customHeight="1">
      <c r="A15" s="2" t="s">
        <v>44</v>
      </c>
      <c r="B15" s="3" t="s">
        <v>47</v>
      </c>
      <c r="C15" s="2" t="s">
        <v>48</v>
      </c>
      <c r="D15" s="2">
        <v>2.0</v>
      </c>
      <c r="E15" s="2" t="s">
        <v>10</v>
      </c>
      <c r="F15" s="2" t="s">
        <v>17</v>
      </c>
      <c r="G15" s="2">
        <v>6.0</v>
      </c>
    </row>
    <row r="16" ht="22.5" customHeight="1">
      <c r="A16" s="2" t="s">
        <v>19</v>
      </c>
      <c r="B16" s="3" t="s">
        <v>49</v>
      </c>
      <c r="C16" s="2" t="s">
        <v>50</v>
      </c>
      <c r="D16" s="2">
        <v>1.0</v>
      </c>
      <c r="E16" s="2" t="s">
        <v>22</v>
      </c>
      <c r="F16" s="2" t="s">
        <v>17</v>
      </c>
      <c r="G16" s="2">
        <v>6.0</v>
      </c>
    </row>
    <row r="17" ht="22.5" customHeight="1">
      <c r="A17" s="2" t="s">
        <v>44</v>
      </c>
      <c r="B17" s="3" t="s">
        <v>51</v>
      </c>
      <c r="C17" s="2" t="s">
        <v>52</v>
      </c>
      <c r="D17" s="2">
        <v>2.0</v>
      </c>
      <c r="E17" s="2" t="s">
        <v>10</v>
      </c>
      <c r="F17" s="2" t="s">
        <v>17</v>
      </c>
      <c r="G17" s="2">
        <v>22.0</v>
      </c>
    </row>
    <row r="18" ht="22.5" customHeight="1">
      <c r="A18" s="2" t="s">
        <v>53</v>
      </c>
      <c r="B18" s="2"/>
      <c r="C18" s="2"/>
      <c r="D18" s="2"/>
      <c r="E18" s="2"/>
      <c r="F18" s="2"/>
      <c r="G18" s="2">
        <f>G2+G3+G5+G6+G7+G8+G9+G10+G12+G14+G15+G16+G17</f>
        <v>410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D18 G2:G18">
      <formula1>AND(ISNUMBER(D2),(NOT(OR(NOT(ISERROR(DATEVALUE(D2))), AND(ISNUMBER(D2), LEFT(CELL("format", D2))="D")))))</formula1>
    </dataValidation>
    <dataValidation type="list" allowBlank="1" showDropDown="1" showErrorMessage="1" sqref="F2">
      <formula1>"On A ,À commander,À prévoir"</formula1>
    </dataValidation>
    <dataValidation type="list" allowBlank="1" showDropDown="1" showErrorMessage="1" sqref="F3:F18">
      <formula1>"On A,À commander,À prévoir"</formula1>
    </dataValidation>
    <dataValidation type="list" allowBlank="1" showDropDown="1" showErrorMessage="1" sqref="E2:E18">
      <formula1>"Commun,Julien,Lucas,Sohan"</formula1>
    </dataValidation>
  </dataValidations>
  <hyperlinks>
    <hyperlink r:id="rId1" ref="B2"/>
    <hyperlink r:id="rId2" ref="B3"/>
    <hyperlink r:id="rId3" ref="B4"/>
    <hyperlink r:id="rId4" ref="C4"/>
    <hyperlink r:id="rId5" ref="B5"/>
    <hyperlink r:id="rId6" ref="B6"/>
    <hyperlink r:id="rId7" ref="B7"/>
    <hyperlink r:id="rId8" ref="B8"/>
    <hyperlink r:id="rId9" ref="B9"/>
    <hyperlink r:id="rId10" ref="B10"/>
    <hyperlink r:id="rId11" ref="B12"/>
    <hyperlink r:id="rId12" ref="B14"/>
    <hyperlink r:id="rId13" ref="B15"/>
    <hyperlink r:id="rId14" ref="B16"/>
    <hyperlink r:id="rId15" ref="B17"/>
  </hyperlinks>
  <drawing r:id="rId16"/>
  <tableParts count="1"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29.88"/>
    <col customWidth="1" min="4" max="4" width="28.75"/>
    <col customWidth="1" min="5" max="5" width="20.13"/>
    <col customWidth="1" min="6" max="6" width="10.75"/>
    <col customWidth="1" min="7" max="7" width="17.25"/>
    <col customWidth="1" min="8" max="8" width="16.25"/>
  </cols>
  <sheetData>
    <row r="1" ht="22.5" customHeight="1">
      <c r="A1" s="6"/>
      <c r="B1" s="6"/>
      <c r="C1" s="7" t="s">
        <v>54</v>
      </c>
      <c r="D1" s="8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6"/>
      <c r="B2" s="6"/>
      <c r="C2" s="9">
        <v>2.0</v>
      </c>
      <c r="D2" s="10" t="s">
        <v>60</v>
      </c>
      <c r="E2" s="11" t="s">
        <v>61</v>
      </c>
      <c r="F2" s="11" t="s">
        <v>62</v>
      </c>
      <c r="G2" s="12">
        <v>46049.0</v>
      </c>
      <c r="H2" s="13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6"/>
      <c r="B3" s="6"/>
      <c r="C3" s="14">
        <v>2.0</v>
      </c>
      <c r="D3" s="15" t="s">
        <v>63</v>
      </c>
      <c r="E3" s="16" t="s">
        <v>61</v>
      </c>
      <c r="F3" s="16" t="s">
        <v>62</v>
      </c>
      <c r="G3" s="17">
        <v>46049.0</v>
      </c>
      <c r="H3" s="1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6"/>
      <c r="B4" s="6"/>
      <c r="C4" s="9">
        <v>1.0</v>
      </c>
      <c r="D4" s="10" t="s">
        <v>64</v>
      </c>
      <c r="E4" s="11" t="s">
        <v>61</v>
      </c>
      <c r="F4" s="11" t="s">
        <v>62</v>
      </c>
      <c r="G4" s="12">
        <v>46049.0</v>
      </c>
      <c r="H4" s="13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6"/>
      <c r="B5" s="6"/>
      <c r="C5" s="14">
        <v>2.0</v>
      </c>
      <c r="D5" s="15" t="s">
        <v>65</v>
      </c>
      <c r="E5" s="16" t="s">
        <v>61</v>
      </c>
      <c r="F5" s="16" t="s">
        <v>62</v>
      </c>
      <c r="G5" s="17">
        <v>46049.0</v>
      </c>
      <c r="H5" s="18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6"/>
      <c r="B6" s="6"/>
      <c r="C6" s="9">
        <v>1.0</v>
      </c>
      <c r="D6" s="10" t="s">
        <v>66</v>
      </c>
      <c r="E6" s="11" t="s">
        <v>61</v>
      </c>
      <c r="F6" s="11" t="s">
        <v>62</v>
      </c>
      <c r="G6" s="12">
        <v>46049.0</v>
      </c>
      <c r="H6" s="13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6"/>
      <c r="B7" s="6"/>
      <c r="C7" s="14">
        <v>2.0</v>
      </c>
      <c r="D7" s="15" t="s">
        <v>67</v>
      </c>
      <c r="E7" s="16" t="s">
        <v>68</v>
      </c>
      <c r="F7" s="16" t="s">
        <v>62</v>
      </c>
      <c r="G7" s="17">
        <v>46049.0</v>
      </c>
      <c r="H7" s="18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6"/>
      <c r="B8" s="6"/>
      <c r="C8" s="9">
        <v>1.0</v>
      </c>
      <c r="D8" s="10" t="s">
        <v>69</v>
      </c>
      <c r="E8" s="11" t="s">
        <v>61</v>
      </c>
      <c r="F8" s="11" t="s">
        <v>62</v>
      </c>
      <c r="G8" s="12">
        <v>46049.0</v>
      </c>
      <c r="H8" s="13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6"/>
      <c r="B9" s="6"/>
      <c r="C9" s="14">
        <v>1.0</v>
      </c>
      <c r="D9" s="15" t="s">
        <v>70</v>
      </c>
      <c r="E9" s="16" t="s">
        <v>61</v>
      </c>
      <c r="F9" s="16" t="s">
        <v>62</v>
      </c>
      <c r="G9" s="17">
        <v>46049.0</v>
      </c>
      <c r="H9" s="18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6"/>
      <c r="B10" s="6"/>
      <c r="C10" s="9">
        <v>2.0</v>
      </c>
      <c r="D10" s="10" t="s">
        <v>71</v>
      </c>
      <c r="E10" s="11" t="s">
        <v>61</v>
      </c>
      <c r="F10" s="11" t="s">
        <v>62</v>
      </c>
      <c r="G10" s="12">
        <v>46049.0</v>
      </c>
      <c r="H10" s="13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6"/>
      <c r="B11" s="6"/>
      <c r="C11" s="14">
        <v>1.0</v>
      </c>
      <c r="D11" s="15" t="s">
        <v>72</v>
      </c>
      <c r="E11" s="16" t="s">
        <v>61</v>
      </c>
      <c r="F11" s="16" t="s">
        <v>62</v>
      </c>
      <c r="G11" s="17">
        <v>46049.0</v>
      </c>
      <c r="H11" s="18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6"/>
      <c r="B12" s="6"/>
      <c r="C12" s="9">
        <v>1.0</v>
      </c>
      <c r="D12" s="10" t="s">
        <v>73</v>
      </c>
      <c r="E12" s="11" t="s">
        <v>61</v>
      </c>
      <c r="F12" s="11" t="s">
        <v>62</v>
      </c>
      <c r="G12" s="12">
        <v>46049.0</v>
      </c>
      <c r="H12" s="13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6"/>
      <c r="B13" s="6"/>
      <c r="C13" s="14">
        <v>1.0</v>
      </c>
      <c r="D13" s="15" t="s">
        <v>74</v>
      </c>
      <c r="E13" s="16" t="s">
        <v>61</v>
      </c>
      <c r="F13" s="16" t="s">
        <v>62</v>
      </c>
      <c r="G13" s="17">
        <v>46049.0</v>
      </c>
      <c r="H13" s="18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6"/>
      <c r="B14" s="6"/>
      <c r="C14" s="9">
        <v>1.0</v>
      </c>
      <c r="D14" s="10" t="s">
        <v>75</v>
      </c>
      <c r="E14" s="11" t="s">
        <v>76</v>
      </c>
      <c r="F14" s="11" t="s">
        <v>62</v>
      </c>
      <c r="G14" s="12">
        <v>46049.0</v>
      </c>
      <c r="H14" s="13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6"/>
      <c r="B15" s="6"/>
      <c r="C15" s="19">
        <v>1.0</v>
      </c>
      <c r="D15" s="20" t="s">
        <v>77</v>
      </c>
      <c r="E15" s="21" t="s">
        <v>61</v>
      </c>
      <c r="F15" s="21" t="s">
        <v>62</v>
      </c>
      <c r="G15" s="22">
        <v>46049.0</v>
      </c>
      <c r="H15" s="23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custom" allowBlank="1" showDropDown="1" sqref="C2:C15">
      <formula1>AND(ISNUMBER(C2),(NOT(OR(NOT(ISERROR(DATEVALUE(C2))), AND(ISNUMBER(C2), LEFT(CELL("format", C2))="D")))))</formula1>
    </dataValidation>
    <dataValidation type="custom" allowBlank="1" showDropDown="1" sqref="G2:G15">
      <formula1>OR(NOT(ISERROR(DATEVALUE(G2))), AND(ISNUMBER(G2), LEFT(CELL("format", G2))="D"))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24.13"/>
    <col customWidth="1" min="3" max="3" width="21.63"/>
    <col customWidth="1" min="4" max="4" width="24.0"/>
    <col customWidth="1" min="5" max="5" width="23.13"/>
  </cols>
  <sheetData>
    <row r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24" t="s">
        <v>54</v>
      </c>
      <c r="B2" s="24" t="s">
        <v>78</v>
      </c>
      <c r="C2" s="24" t="s">
        <v>79</v>
      </c>
      <c r="D2" s="24" t="s">
        <v>80</v>
      </c>
      <c r="E2" s="24" t="s">
        <v>81</v>
      </c>
      <c r="F2" s="24" t="s">
        <v>59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25">
        <v>1.0</v>
      </c>
      <c r="B3" s="26" t="s">
        <v>82</v>
      </c>
      <c r="C3" s="27">
        <v>7.9331202E7</v>
      </c>
      <c r="D3" s="28" t="s">
        <v>83</v>
      </c>
      <c r="E3" s="29">
        <v>47.69</v>
      </c>
      <c r="F3" s="30" t="s">
        <v>62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31">
        <v>1.0</v>
      </c>
      <c r="B4" s="32" t="s">
        <v>20</v>
      </c>
      <c r="C4" s="33" t="s">
        <v>84</v>
      </c>
      <c r="D4" s="34" t="s">
        <v>85</v>
      </c>
      <c r="E4" s="35">
        <v>50.33</v>
      </c>
      <c r="F4" s="36" t="s">
        <v>62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25">
        <v>1.0</v>
      </c>
      <c r="B5" s="26" t="s">
        <v>86</v>
      </c>
      <c r="C5" s="27">
        <v>1.01020712E8</v>
      </c>
      <c r="D5" s="28" t="s">
        <v>87</v>
      </c>
      <c r="E5" s="29">
        <v>4.92</v>
      </c>
      <c r="F5" s="30" t="s">
        <v>62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31">
        <v>1.0</v>
      </c>
      <c r="B6" s="32" t="s">
        <v>88</v>
      </c>
      <c r="C6" s="33" t="s">
        <v>89</v>
      </c>
      <c r="D6" s="34" t="s">
        <v>88</v>
      </c>
      <c r="E6" s="35">
        <v>8.29</v>
      </c>
      <c r="F6" s="36" t="s">
        <v>62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25">
        <v>1.0</v>
      </c>
      <c r="B7" s="37" t="s">
        <v>90</v>
      </c>
      <c r="C7" s="26" t="s">
        <v>91</v>
      </c>
      <c r="D7" s="28" t="s">
        <v>92</v>
      </c>
      <c r="E7" s="29">
        <v>66.58</v>
      </c>
      <c r="F7" s="30" t="s">
        <v>62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31">
        <v>1.0</v>
      </c>
      <c r="B8" s="32" t="s">
        <v>41</v>
      </c>
      <c r="C8" s="38"/>
      <c r="D8" s="38"/>
      <c r="E8" s="39">
        <v>10.0</v>
      </c>
      <c r="F8" s="36" t="s">
        <v>62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25">
        <v>1.0</v>
      </c>
      <c r="B9" s="26" t="s">
        <v>93</v>
      </c>
      <c r="C9" s="27">
        <v>23368.0</v>
      </c>
      <c r="D9" s="28" t="s">
        <v>93</v>
      </c>
      <c r="E9" s="29">
        <v>2.46</v>
      </c>
      <c r="F9" s="30" t="s">
        <v>62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31">
        <v>1.0</v>
      </c>
      <c r="B10" s="32" t="s">
        <v>94</v>
      </c>
      <c r="C10" s="32" t="s">
        <v>95</v>
      </c>
      <c r="D10" s="34" t="s">
        <v>94</v>
      </c>
      <c r="E10" s="35">
        <v>9.08</v>
      </c>
      <c r="F10" s="36" t="s">
        <v>62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25">
        <v>1.0</v>
      </c>
      <c r="B11" s="26" t="s">
        <v>49</v>
      </c>
      <c r="C11" s="27">
        <v>1.01020712E8</v>
      </c>
      <c r="D11" s="28" t="s">
        <v>49</v>
      </c>
      <c r="E11" s="29">
        <v>4.92</v>
      </c>
      <c r="F11" s="30" t="s">
        <v>62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40" t="s">
        <v>96</v>
      </c>
      <c r="B12" s="41" t="s">
        <v>62</v>
      </c>
      <c r="C12" s="41" t="s">
        <v>62</v>
      </c>
      <c r="D12" s="41" t="s">
        <v>62</v>
      </c>
      <c r="E12" s="42">
        <f>E3+E4+E5+E6+E7+E8+E9+E10+E11</f>
        <v>204.27</v>
      </c>
      <c r="F12" s="43" t="s">
        <v>62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custom" allowBlank="1" showDropDown="1" sqref="A3:A12">
      <formula1>AND(ISNUMBER(A3),(NOT(OR(NOT(ISERROR(DATEVALUE(A3))), AND(ISNUMBER(A3), LEFT(CELL("format", A3))="D")))))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9"/>
    <hyperlink r:id="rId7" ref="D10"/>
    <hyperlink r:id="rId8" ref="D11"/>
  </hyperlinks>
  <drawing r:id="rId9"/>
  <tableParts count="1">
    <tablePart r:id="rId11"/>
  </tableParts>
</worksheet>
</file>